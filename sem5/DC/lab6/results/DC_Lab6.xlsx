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<sst xmlns="http://schemas.openxmlformats.org/spreadsheetml/2006/main" count="19" uniqueCount="14">
  <si>
    <t>Lab 6</t>
  </si>
  <si>
    <t>Test Number</t>
  </si>
  <si>
    <t>Data Size</t>
  </si>
  <si>
    <t>Exec Time (sec)</t>
  </si>
  <si>
    <t>Iterations</t>
  </si>
  <si>
    <t>Theoretical time</t>
  </si>
  <si>
    <t>PC Exec</t>
  </si>
  <si>
    <t>Serial Algorithm</t>
  </si>
  <si>
    <t>Parallel Algotirhm</t>
  </si>
  <si>
    <t>2 processors</t>
  </si>
  <si>
    <t>4 processors</t>
  </si>
  <si>
    <t>8 processors</t>
  </si>
  <si>
    <t>Time</t>
  </si>
  <si>
    <t>Speed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</si>
</sst>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000000"/>
    <numFmt numFmtId="166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5" xfId="0" applyFont="1" applyNumberFormat="1"/>
    <xf borderId="0" fillId="0" fontId="2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2" numFmtId="0" xfId="0" applyFont="1"/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4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7" fontId="1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0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4</xdr:row>
      <xdr:rowOff>19050</xdr:rowOff>
    </xdr:from>
    <xdr:ext cx="933450" cy="31432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13.38"/>
    <col customWidth="1" min="5" max="5" width="13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4">
        <v>10.0</v>
      </c>
      <c r="C3" s="5">
        <v>4.2E-5</v>
      </c>
      <c r="D3" s="6">
        <v>44.0</v>
      </c>
      <c r="E3" s="7">
        <f t="shared" ref="E3:E14" si="1">D3*6*(B3-2)^2*($C$11/($D$11*6*($B$11-2)^2))</f>
        <v>0.00001911076171</v>
      </c>
    </row>
    <row r="4">
      <c r="A4" s="3">
        <v>2.0</v>
      </c>
      <c r="B4" s="4">
        <v>100.0</v>
      </c>
      <c r="C4" s="5">
        <v>0.036781</v>
      </c>
      <c r="D4" s="6">
        <v>366.0</v>
      </c>
      <c r="E4" s="7">
        <f t="shared" si="1"/>
        <v>0.02385495401</v>
      </c>
    </row>
    <row r="5">
      <c r="A5" s="3">
        <v>3.0</v>
      </c>
      <c r="B5" s="4">
        <v>1000.0</v>
      </c>
      <c r="C5" s="5">
        <v>2.365144</v>
      </c>
      <c r="D5" s="6">
        <v>362.0</v>
      </c>
      <c r="E5" s="7">
        <f t="shared" si="1"/>
        <v>2.446893121</v>
      </c>
      <c r="F5" s="8"/>
    </row>
    <row r="6">
      <c r="A6" s="3">
        <v>4.0</v>
      </c>
      <c r="B6" s="4">
        <v>2000.0</v>
      </c>
      <c r="C6" s="9">
        <v>9.769337</v>
      </c>
      <c r="D6" s="6">
        <v>372.0</v>
      </c>
      <c r="E6" s="7">
        <f t="shared" si="1"/>
        <v>10.07811372</v>
      </c>
      <c r="F6" s="8"/>
      <c r="H6" s="10"/>
    </row>
    <row r="7">
      <c r="A7" s="3">
        <v>5.0</v>
      </c>
      <c r="B7" s="4">
        <v>3000.0</v>
      </c>
      <c r="C7" s="5">
        <v>21.589905</v>
      </c>
      <c r="D7" s="6">
        <v>364.0</v>
      </c>
      <c r="E7" s="7">
        <f t="shared" si="1"/>
        <v>22.20291455</v>
      </c>
    </row>
    <row r="8">
      <c r="A8" s="3">
        <v>6.0</v>
      </c>
      <c r="B8" s="4">
        <v>4000.0</v>
      </c>
      <c r="C8" s="5">
        <v>38.51427</v>
      </c>
      <c r="D8" s="6">
        <v>362.0</v>
      </c>
      <c r="E8" s="7">
        <f t="shared" si="1"/>
        <v>39.26806462</v>
      </c>
    </row>
    <row r="9">
      <c r="A9" s="3">
        <v>7.0</v>
      </c>
      <c r="B9" s="4">
        <v>5000.0</v>
      </c>
      <c r="C9" s="5">
        <v>61.620185</v>
      </c>
      <c r="D9" s="6">
        <v>367.0</v>
      </c>
      <c r="E9" s="7">
        <f t="shared" si="1"/>
        <v>62.21626198</v>
      </c>
    </row>
    <row r="10">
      <c r="A10" s="3">
        <v>8.0</v>
      </c>
      <c r="B10" s="4">
        <v>6000.0</v>
      </c>
      <c r="C10" s="5">
        <v>88.521609</v>
      </c>
      <c r="D10" s="6">
        <v>364.0</v>
      </c>
      <c r="E10" s="7">
        <f t="shared" si="1"/>
        <v>88.87091536</v>
      </c>
    </row>
    <row r="11">
      <c r="A11" s="3">
        <v>9.0</v>
      </c>
      <c r="B11" s="4">
        <v>7000.0</v>
      </c>
      <c r="C11" s="5">
        <v>121.639411</v>
      </c>
      <c r="D11" s="6">
        <v>366.0</v>
      </c>
      <c r="E11" s="7">
        <f t="shared" si="1"/>
        <v>121.639411</v>
      </c>
    </row>
    <row r="12">
      <c r="A12" s="3">
        <v>10.0</v>
      </c>
      <c r="B12" s="4">
        <v>8000.0</v>
      </c>
      <c r="C12" s="5">
        <v>154.026433</v>
      </c>
      <c r="D12" s="6">
        <v>355.0</v>
      </c>
      <c r="E12" s="7">
        <f t="shared" si="1"/>
        <v>154.1120152</v>
      </c>
    </row>
    <row r="13">
      <c r="A13" s="3">
        <v>11.0</v>
      </c>
      <c r="B13" s="4">
        <v>9000.0</v>
      </c>
      <c r="C13" s="5">
        <v>204.179894</v>
      </c>
      <c r="D13" s="6">
        <v>369.0</v>
      </c>
      <c r="E13" s="7">
        <f t="shared" si="1"/>
        <v>202.7513202</v>
      </c>
    </row>
    <row r="14">
      <c r="A14" s="3">
        <v>12.0</v>
      </c>
      <c r="B14" s="4">
        <v>10000.0</v>
      </c>
      <c r="C14" s="5">
        <v>254.892121</v>
      </c>
      <c r="D14" s="6">
        <v>373.0</v>
      </c>
      <c r="E14" s="7">
        <f t="shared" si="1"/>
        <v>253.0349104</v>
      </c>
    </row>
    <row r="15">
      <c r="A15" s="11"/>
      <c r="B15" s="11"/>
      <c r="C15" s="12"/>
      <c r="D15" s="11"/>
    </row>
    <row r="16">
      <c r="A16" s="13" t="s">
        <v>6</v>
      </c>
    </row>
    <row r="17">
      <c r="A17" s="14" t="s">
        <v>2</v>
      </c>
      <c r="B17" s="14" t="s">
        <v>7</v>
      </c>
      <c r="C17" s="14" t="s">
        <v>8</v>
      </c>
    </row>
    <row r="18">
      <c r="C18" s="15" t="s">
        <v>9</v>
      </c>
      <c r="E18" s="15" t="s">
        <v>10</v>
      </c>
      <c r="G18" s="15" t="s">
        <v>11</v>
      </c>
    </row>
    <row r="19">
      <c r="C19" s="14" t="s">
        <v>12</v>
      </c>
      <c r="D19" s="14" t="s">
        <v>13</v>
      </c>
      <c r="E19" s="14" t="s">
        <v>12</v>
      </c>
      <c r="F19" s="14" t="s">
        <v>13</v>
      </c>
      <c r="G19" s="14" t="s">
        <v>12</v>
      </c>
      <c r="H19" s="14" t="s">
        <v>13</v>
      </c>
    </row>
    <row r="20">
      <c r="A20" s="16">
        <f t="shared" ref="A20:B20" si="2">B3</f>
        <v>10</v>
      </c>
      <c r="B20" s="17">
        <f t="shared" si="2"/>
        <v>0.000042</v>
      </c>
      <c r="C20" s="18">
        <v>3.75E-4</v>
      </c>
      <c r="D20" s="19">
        <f t="shared" ref="D20:D31" si="4">B20/C20</f>
        <v>0.112</v>
      </c>
      <c r="E20" s="18">
        <v>0.00287</v>
      </c>
      <c r="F20" s="19">
        <f t="shared" ref="F20:F31" si="5">B20/E20</f>
        <v>0.01463414634</v>
      </c>
      <c r="G20" s="18">
        <v>0.004047</v>
      </c>
      <c r="H20" s="19">
        <f t="shared" ref="H20:H31" si="6">B20/G20</f>
        <v>0.01037805782</v>
      </c>
    </row>
    <row r="21">
      <c r="A21" s="16">
        <f t="shared" ref="A21:B21" si="3">B4</f>
        <v>100</v>
      </c>
      <c r="B21" s="17">
        <f t="shared" si="3"/>
        <v>0.036781</v>
      </c>
      <c r="C21" s="18">
        <v>0.022942</v>
      </c>
      <c r="D21" s="19">
        <f t="shared" si="4"/>
        <v>1.603216808</v>
      </c>
      <c r="E21" s="18">
        <v>0.012281</v>
      </c>
      <c r="F21" s="19">
        <f t="shared" si="5"/>
        <v>2.994951551</v>
      </c>
      <c r="G21" s="18">
        <v>0.019266</v>
      </c>
      <c r="H21" s="19">
        <f t="shared" si="6"/>
        <v>1.909114502</v>
      </c>
    </row>
    <row r="22">
      <c r="A22" s="16">
        <f t="shared" ref="A22:B22" si="7">B5</f>
        <v>1000</v>
      </c>
      <c r="B22" s="17">
        <f t="shared" si="7"/>
        <v>2.365144</v>
      </c>
      <c r="C22" s="18">
        <v>1.224264</v>
      </c>
      <c r="D22" s="19">
        <f t="shared" si="4"/>
        <v>1.931890507</v>
      </c>
      <c r="E22" s="18">
        <v>0.668827</v>
      </c>
      <c r="F22" s="19">
        <f t="shared" si="5"/>
        <v>3.53625676</v>
      </c>
      <c r="G22" s="18">
        <v>1.188571</v>
      </c>
      <c r="H22" s="19">
        <f t="shared" si="6"/>
        <v>1.989905525</v>
      </c>
    </row>
    <row r="23">
      <c r="A23" s="16">
        <f t="shared" ref="A23:B23" si="8">B6</f>
        <v>2000</v>
      </c>
      <c r="B23" s="17">
        <f t="shared" si="8"/>
        <v>9.769337</v>
      </c>
      <c r="C23" s="18">
        <v>5.105098</v>
      </c>
      <c r="D23" s="19">
        <f t="shared" si="4"/>
        <v>1.913643382</v>
      </c>
      <c r="E23" s="18">
        <v>2.781929</v>
      </c>
      <c r="F23" s="19">
        <f t="shared" si="5"/>
        <v>3.511713275</v>
      </c>
      <c r="G23" s="18">
        <v>4.066991</v>
      </c>
      <c r="H23" s="19">
        <f t="shared" si="6"/>
        <v>2.402104406</v>
      </c>
    </row>
    <row r="24">
      <c r="A24" s="16">
        <f t="shared" ref="A24:B24" si="9">B7</f>
        <v>3000</v>
      </c>
      <c r="B24" s="17">
        <f t="shared" si="9"/>
        <v>21.589905</v>
      </c>
      <c r="C24" s="5">
        <v>11.834246</v>
      </c>
      <c r="D24" s="19">
        <f t="shared" si="4"/>
        <v>1.824358307</v>
      </c>
      <c r="E24" s="18">
        <v>6.352308</v>
      </c>
      <c r="F24" s="19">
        <f t="shared" si="5"/>
        <v>3.398749714</v>
      </c>
      <c r="G24" s="18">
        <v>8.258328</v>
      </c>
      <c r="H24" s="19">
        <f t="shared" si="6"/>
        <v>2.614319145</v>
      </c>
    </row>
    <row r="25">
      <c r="A25" s="16">
        <f t="shared" ref="A25:B25" si="10">B8</f>
        <v>4000</v>
      </c>
      <c r="B25" s="17">
        <f t="shared" si="10"/>
        <v>38.51427</v>
      </c>
      <c r="C25" s="18">
        <v>20.805662</v>
      </c>
      <c r="D25" s="19">
        <f t="shared" si="4"/>
        <v>1.851143693</v>
      </c>
      <c r="E25" s="18">
        <v>12.007686</v>
      </c>
      <c r="F25" s="19">
        <f t="shared" si="5"/>
        <v>3.207468117</v>
      </c>
      <c r="G25" s="18">
        <v>13.652085</v>
      </c>
      <c r="H25" s="19">
        <f t="shared" si="6"/>
        <v>2.821127322</v>
      </c>
    </row>
    <row r="26">
      <c r="A26" s="16">
        <f t="shared" ref="A26:B26" si="11">B9</f>
        <v>5000</v>
      </c>
      <c r="B26" s="17">
        <f t="shared" si="11"/>
        <v>61.620185</v>
      </c>
      <c r="C26" s="18">
        <v>32.151445</v>
      </c>
      <c r="D26" s="19">
        <f t="shared" si="4"/>
        <v>1.91656036</v>
      </c>
      <c r="E26" s="18">
        <v>20.234507</v>
      </c>
      <c r="F26" s="19">
        <f t="shared" si="5"/>
        <v>3.045302018</v>
      </c>
      <c r="G26" s="18">
        <v>20.418437</v>
      </c>
      <c r="H26" s="19">
        <f t="shared" si="6"/>
        <v>3.01786983</v>
      </c>
    </row>
    <row r="27">
      <c r="A27" s="16">
        <f t="shared" ref="A27:B27" si="12">B10</f>
        <v>6000</v>
      </c>
      <c r="B27" s="17">
        <f t="shared" si="12"/>
        <v>88.521609</v>
      </c>
      <c r="C27" s="18">
        <v>49.11897</v>
      </c>
      <c r="D27" s="19">
        <f t="shared" si="4"/>
        <v>1.802187811</v>
      </c>
      <c r="E27" s="18">
        <v>29.525321</v>
      </c>
      <c r="F27" s="19">
        <f t="shared" si="5"/>
        <v>2.998159072</v>
      </c>
      <c r="G27" s="18">
        <v>27.395057</v>
      </c>
      <c r="H27" s="19">
        <f t="shared" si="6"/>
        <v>3.231298588</v>
      </c>
    </row>
    <row r="28">
      <c r="A28" s="16">
        <f t="shared" ref="A28:B28" si="13">B11</f>
        <v>7000</v>
      </c>
      <c r="B28" s="17">
        <f t="shared" si="13"/>
        <v>121.639411</v>
      </c>
      <c r="C28" s="18">
        <v>62.792359</v>
      </c>
      <c r="D28" s="19">
        <f t="shared" si="4"/>
        <v>1.937168995</v>
      </c>
      <c r="E28" s="18">
        <v>39.65606</v>
      </c>
      <c r="F28" s="19">
        <f t="shared" si="5"/>
        <v>3.06735997</v>
      </c>
      <c r="G28" s="18">
        <v>36.664638</v>
      </c>
      <c r="H28" s="19">
        <f t="shared" si="6"/>
        <v>3.317622037</v>
      </c>
    </row>
    <row r="29">
      <c r="A29" s="16">
        <f t="shared" ref="A29:B29" si="14">B12</f>
        <v>8000</v>
      </c>
      <c r="B29" s="17">
        <f t="shared" si="14"/>
        <v>154.026433</v>
      </c>
      <c r="C29" s="18">
        <v>82.74198</v>
      </c>
      <c r="D29" s="19">
        <f t="shared" si="4"/>
        <v>1.861527039</v>
      </c>
      <c r="E29" s="18">
        <v>57.512947</v>
      </c>
      <c r="F29" s="19">
        <f t="shared" si="5"/>
        <v>2.678117555</v>
      </c>
      <c r="G29" s="18">
        <v>46.864019</v>
      </c>
      <c r="H29" s="19">
        <f t="shared" si="6"/>
        <v>3.286667176</v>
      </c>
    </row>
    <row r="30">
      <c r="A30" s="16">
        <f t="shared" ref="A30:B30" si="15">B13</f>
        <v>9000</v>
      </c>
      <c r="B30" s="17">
        <f t="shared" si="15"/>
        <v>204.179894</v>
      </c>
      <c r="C30" s="18">
        <v>106.980872</v>
      </c>
      <c r="D30" s="19">
        <f t="shared" si="4"/>
        <v>1.908564496</v>
      </c>
      <c r="E30" s="18">
        <v>72.948055</v>
      </c>
      <c r="F30" s="19">
        <f t="shared" si="5"/>
        <v>2.798976532</v>
      </c>
      <c r="G30" s="18">
        <v>72.44136</v>
      </c>
      <c r="H30" s="19">
        <f t="shared" si="6"/>
        <v>2.818554124</v>
      </c>
    </row>
    <row r="31">
      <c r="A31" s="16">
        <f t="shared" ref="A31:B31" si="16">B14</f>
        <v>10000</v>
      </c>
      <c r="B31" s="17">
        <f t="shared" si="16"/>
        <v>254.892121</v>
      </c>
      <c r="C31" s="18">
        <v>128.818498</v>
      </c>
      <c r="D31" s="19">
        <f t="shared" si="4"/>
        <v>1.978691919</v>
      </c>
      <c r="E31" s="18">
        <v>81.139217</v>
      </c>
      <c r="F31" s="19">
        <f t="shared" si="5"/>
        <v>3.141417066</v>
      </c>
      <c r="G31" s="18">
        <v>94.796948</v>
      </c>
      <c r="H31" s="19">
        <f t="shared" si="6"/>
        <v>2.688822018</v>
      </c>
    </row>
    <row r="32">
      <c r="A32" s="11"/>
      <c r="B32" s="11"/>
      <c r="C32" s="5"/>
      <c r="D32" s="20"/>
      <c r="E32" s="21"/>
      <c r="F32" s="20"/>
      <c r="G32" s="5"/>
      <c r="H32" s="20"/>
    </row>
    <row r="33">
      <c r="A33" s="11"/>
      <c r="B33" s="11"/>
      <c r="C33" s="5"/>
      <c r="D33" s="20"/>
      <c r="E33" s="5"/>
      <c r="F33" s="20"/>
      <c r="G33" s="5"/>
      <c r="H33" s="20"/>
    </row>
    <row r="34">
      <c r="A34" s="11"/>
      <c r="B34" s="11"/>
      <c r="C34" s="5"/>
      <c r="D34" s="20"/>
      <c r="E34" s="5"/>
      <c r="F34" s="20"/>
      <c r="G34" s="5"/>
      <c r="H34" s="20"/>
    </row>
    <row r="35">
      <c r="A35" s="11"/>
      <c r="B35" s="11"/>
      <c r="C35" s="5"/>
      <c r="D35" s="20"/>
      <c r="E35" s="5"/>
      <c r="F35" s="20"/>
      <c r="G35" s="5"/>
      <c r="H35" s="20"/>
    </row>
    <row r="36">
      <c r="A36" s="11"/>
      <c r="B36" s="11"/>
      <c r="C36" s="5"/>
      <c r="D36" s="20"/>
      <c r="E36" s="5"/>
      <c r="F36" s="20"/>
      <c r="G36" s="5"/>
      <c r="H36" s="20"/>
    </row>
    <row r="37">
      <c r="A37" s="11"/>
      <c r="B37" s="11"/>
      <c r="C37" s="5"/>
      <c r="D37" s="20"/>
      <c r="E37" s="5"/>
      <c r="F37" s="20"/>
      <c r="G37" s="5"/>
      <c r="H37" s="20"/>
    </row>
    <row r="38">
      <c r="A38" s="11"/>
      <c r="B38" s="11"/>
      <c r="C38" s="5"/>
      <c r="D38" s="20"/>
      <c r="E38" s="5"/>
      <c r="F38" s="20"/>
      <c r="G38" s="5"/>
      <c r="H38" s="20"/>
    </row>
  </sheetData>
  <mergeCells count="9">
    <mergeCell ref="E18:F18"/>
    <mergeCell ref="G18:H18"/>
    <mergeCell ref="A1:H1"/>
    <mergeCell ref="A16:H16"/>
    <mergeCell ref="B17:B19"/>
    <mergeCell ref="C17:H17"/>
    <mergeCell ref="C18:D18"/>
    <mergeCell ref="G5:G6"/>
    <mergeCell ref="A17:A1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