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<sst xmlns="http://schemas.openxmlformats.org/spreadsheetml/2006/main" count="32" uniqueCount="15">
  <si>
    <t>Lab 4</t>
  </si>
  <si>
    <t>Test Number</t>
  </si>
  <si>
    <t>Data Size</t>
  </si>
  <si>
    <t>Exec Time (bubble)</t>
  </si>
  <si>
    <t>Exec Time (stdlib)</t>
  </si>
  <si>
    <t>Theoretical time</t>
  </si>
  <si>
    <t>PC Exec</t>
  </si>
  <si>
    <t>Serial Algorithm</t>
  </si>
  <si>
    <t>Parallel Algotirhm</t>
  </si>
  <si>
    <t>2 processors</t>
  </si>
  <si>
    <t>4 processors</t>
  </si>
  <si>
    <t>8 processors</t>
  </si>
  <si>
    <t>Time</t>
  </si>
  <si>
    <t>Speed Up</t>
  </si>
  <si>
    <t>Cluster 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</si>
</sst>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0.0000000"/>
    <numFmt numFmtId="166" formatCode="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4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7" fontId="1" numFmtId="166" xfId="0" applyAlignment="1" applyFont="1" applyNumberFormat="1">
      <alignment horizontal="center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0" fontId="1" numFmtId="166" xfId="0" applyAlignment="1" applyFont="1" applyNumberFormat="1">
      <alignment horizontal="center"/>
    </xf>
    <xf borderId="0" fillId="0" fontId="0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962025" cy="114300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5.5"/>
    <col customWidth="1" min="5" max="5" width="14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1.0</v>
      </c>
      <c r="B3" s="4">
        <v>10.0</v>
      </c>
      <c r="C3" s="5">
        <v>3.0E-6</v>
      </c>
      <c r="D3" s="6">
        <v>1.0E-6</v>
      </c>
      <c r="E3" s="7">
        <f t="shared" ref="E3:E9" si="1">(B3*(B3-1)/2)*($C$7/($B$7*($B$7-1)/2))</f>
        <v>0.0000001980166006</v>
      </c>
    </row>
    <row r="4">
      <c r="A4" s="3">
        <v>2.0</v>
      </c>
      <c r="B4" s="4">
        <v>100.0</v>
      </c>
      <c r="C4" s="5">
        <v>3.9E-5</v>
      </c>
      <c r="D4" s="6">
        <v>6.0E-6</v>
      </c>
      <c r="E4" s="7">
        <f t="shared" si="1"/>
        <v>0.00002178182606</v>
      </c>
    </row>
    <row r="5">
      <c r="A5" s="3">
        <v>3.0</v>
      </c>
      <c r="B5" s="4">
        <v>10000.0</v>
      </c>
      <c r="C5" s="5">
        <v>0.202235</v>
      </c>
      <c r="D5" s="6">
        <v>4.55E-4</v>
      </c>
      <c r="E5" s="7">
        <f t="shared" si="1"/>
        <v>0.2199964432</v>
      </c>
      <c r="F5" s="8"/>
    </row>
    <row r="6">
      <c r="A6" s="3">
        <v>4.0</v>
      </c>
      <c r="B6" s="4">
        <v>20000.0</v>
      </c>
      <c r="C6" s="5">
        <v>0.845741</v>
      </c>
      <c r="D6" s="6">
        <v>9.6E-4</v>
      </c>
      <c r="E6" s="7">
        <f t="shared" si="1"/>
        <v>0.8800297765</v>
      </c>
    </row>
    <row r="7">
      <c r="A7" s="3">
        <v>5.0</v>
      </c>
      <c r="B7" s="4">
        <v>30000.0</v>
      </c>
      <c r="C7" s="5">
        <v>1.9801</v>
      </c>
      <c r="D7" s="6">
        <v>0.001566</v>
      </c>
      <c r="E7" s="7">
        <f t="shared" si="1"/>
        <v>1.9801</v>
      </c>
    </row>
    <row r="8">
      <c r="A8" s="3">
        <v>6.0</v>
      </c>
      <c r="B8" s="4">
        <v>40000.0</v>
      </c>
      <c r="C8" s="5">
        <v>3.634973</v>
      </c>
      <c r="D8" s="6">
        <v>0.002175</v>
      </c>
      <c r="E8" s="7">
        <f t="shared" si="1"/>
        <v>3.520207114</v>
      </c>
    </row>
    <row r="9">
      <c r="A9" s="3">
        <v>7.0</v>
      </c>
      <c r="B9" s="4">
        <v>50000.0</v>
      </c>
      <c r="C9" s="5">
        <v>5.716966</v>
      </c>
      <c r="D9" s="6">
        <v>0.002888</v>
      </c>
      <c r="E9" s="7">
        <f t="shared" si="1"/>
        <v>5.500351117</v>
      </c>
    </row>
    <row r="10">
      <c r="A10" s="9"/>
      <c r="B10" s="9"/>
      <c r="C10" s="10"/>
      <c r="D10" s="9"/>
    </row>
    <row r="11">
      <c r="A11" s="11" t="s">
        <v>6</v>
      </c>
    </row>
    <row r="12">
      <c r="A12" s="12" t="s">
        <v>2</v>
      </c>
      <c r="B12" s="12" t="s">
        <v>7</v>
      </c>
      <c r="C12" s="12" t="s">
        <v>8</v>
      </c>
    </row>
    <row r="13">
      <c r="C13" s="13" t="s">
        <v>9</v>
      </c>
      <c r="E13" s="13" t="s">
        <v>10</v>
      </c>
      <c r="G13" s="13" t="s">
        <v>11</v>
      </c>
    </row>
    <row r="14">
      <c r="C14" s="12" t="s">
        <v>12</v>
      </c>
      <c r="D14" s="12" t="s">
        <v>13</v>
      </c>
      <c r="E14" s="12" t="s">
        <v>12</v>
      </c>
      <c r="F14" s="12" t="s">
        <v>13</v>
      </c>
      <c r="G14" s="12" t="s">
        <v>12</v>
      </c>
      <c r="H14" s="12" t="s">
        <v>13</v>
      </c>
    </row>
    <row r="15">
      <c r="A15" s="14">
        <f t="shared" ref="A15:B15" si="2">B3</f>
        <v>10</v>
      </c>
      <c r="B15" s="15">
        <f t="shared" si="2"/>
        <v>0.000003</v>
      </c>
      <c r="C15" s="16">
        <v>4.7E-5</v>
      </c>
      <c r="D15" s="17">
        <f t="shared" ref="D15:D21" si="4">B15/C15</f>
        <v>0.06382978723</v>
      </c>
      <c r="E15" s="16">
        <v>0.001055</v>
      </c>
      <c r="F15" s="17">
        <f t="shared" ref="F15:F21" si="5">B15/E15</f>
        <v>0.002843601896</v>
      </c>
      <c r="G15" s="16">
        <v>1.62E-4</v>
      </c>
      <c r="H15" s="17">
        <f t="shared" ref="H15:H21" si="6">B15/G15</f>
        <v>0.01851851852</v>
      </c>
    </row>
    <row r="16">
      <c r="A16" s="14">
        <f t="shared" ref="A16:B16" si="3">B4</f>
        <v>100</v>
      </c>
      <c r="B16" s="15">
        <f t="shared" si="3"/>
        <v>0.000039</v>
      </c>
      <c r="C16" s="16">
        <v>2.9E-5</v>
      </c>
      <c r="D16" s="17">
        <f t="shared" si="4"/>
        <v>1.344827586</v>
      </c>
      <c r="E16" s="16">
        <v>1.3E-5</v>
      </c>
      <c r="F16" s="17">
        <f t="shared" si="5"/>
        <v>3</v>
      </c>
      <c r="G16" s="16">
        <v>0.001034</v>
      </c>
      <c r="H16" s="17">
        <f t="shared" si="6"/>
        <v>0.03771760155</v>
      </c>
    </row>
    <row r="17">
      <c r="A17" s="14">
        <f t="shared" ref="A17:B17" si="7">B5</f>
        <v>10000</v>
      </c>
      <c r="B17" s="15">
        <f t="shared" si="7"/>
        <v>0.202235</v>
      </c>
      <c r="C17" s="16">
        <v>0.044785</v>
      </c>
      <c r="D17" s="17">
        <f t="shared" si="4"/>
        <v>4.515686056</v>
      </c>
      <c r="E17" s="16">
        <v>0.019736</v>
      </c>
      <c r="F17" s="17">
        <f t="shared" si="5"/>
        <v>10.24701054</v>
      </c>
      <c r="G17" s="16">
        <v>0.007026</v>
      </c>
      <c r="H17" s="17">
        <f t="shared" si="6"/>
        <v>28.78380302</v>
      </c>
    </row>
    <row r="18">
      <c r="A18" s="14">
        <f t="shared" ref="A18:B18" si="8">B6</f>
        <v>20000</v>
      </c>
      <c r="B18" s="15">
        <f t="shared" si="8"/>
        <v>0.845741</v>
      </c>
      <c r="C18" s="16">
        <v>0.199319</v>
      </c>
      <c r="D18" s="17">
        <f t="shared" si="4"/>
        <v>4.243152936</v>
      </c>
      <c r="E18" s="16">
        <v>0.075365</v>
      </c>
      <c r="F18" s="17">
        <f t="shared" si="5"/>
        <v>11.22193326</v>
      </c>
      <c r="G18" s="16">
        <v>0.030696</v>
      </c>
      <c r="H18" s="17">
        <f t="shared" si="6"/>
        <v>27.55215663</v>
      </c>
    </row>
    <row r="19">
      <c r="A19" s="14">
        <f t="shared" ref="A19:B19" si="9">B7</f>
        <v>30000</v>
      </c>
      <c r="B19" s="15">
        <f t="shared" si="9"/>
        <v>1.9801</v>
      </c>
      <c r="C19" s="5">
        <v>0.47384</v>
      </c>
      <c r="D19" s="17">
        <f t="shared" si="4"/>
        <v>4.178836738</v>
      </c>
      <c r="E19" s="16">
        <v>0.345105</v>
      </c>
      <c r="F19" s="17">
        <f t="shared" si="5"/>
        <v>5.737674041</v>
      </c>
      <c r="G19" s="16">
        <v>0.05697</v>
      </c>
      <c r="H19" s="17">
        <f t="shared" si="6"/>
        <v>34.75688959</v>
      </c>
    </row>
    <row r="20">
      <c r="A20" s="14">
        <f t="shared" ref="A20:B20" si="10">B8</f>
        <v>40000</v>
      </c>
      <c r="B20" s="15">
        <f t="shared" si="10"/>
        <v>3.634973</v>
      </c>
      <c r="C20" s="16">
        <v>0.889402</v>
      </c>
      <c r="D20" s="17">
        <f t="shared" si="4"/>
        <v>4.086985413</v>
      </c>
      <c r="E20" s="16">
        <v>0.443454</v>
      </c>
      <c r="F20" s="17">
        <f t="shared" si="5"/>
        <v>8.196956167</v>
      </c>
      <c r="G20" s="16">
        <v>0.116917</v>
      </c>
      <c r="H20" s="17">
        <f t="shared" si="6"/>
        <v>31.09020074</v>
      </c>
    </row>
    <row r="21">
      <c r="A21" s="14">
        <f t="shared" ref="A21:B21" si="11">B9</f>
        <v>50000</v>
      </c>
      <c r="B21" s="15">
        <f t="shared" si="11"/>
        <v>5.716966</v>
      </c>
      <c r="C21" s="16">
        <v>1.402561</v>
      </c>
      <c r="D21" s="17">
        <f t="shared" si="4"/>
        <v>4.076090808</v>
      </c>
      <c r="E21" s="16">
        <v>0.706792</v>
      </c>
      <c r="F21" s="17">
        <f t="shared" si="5"/>
        <v>8.088611642</v>
      </c>
      <c r="G21" s="16">
        <v>0.544965</v>
      </c>
      <c r="H21" s="17">
        <f t="shared" si="6"/>
        <v>10.49051957</v>
      </c>
    </row>
    <row r="22">
      <c r="C22" s="10"/>
      <c r="E22" s="10"/>
      <c r="G22" s="10"/>
    </row>
    <row r="23">
      <c r="A23" s="18" t="s">
        <v>14</v>
      </c>
    </row>
    <row r="24">
      <c r="A24" s="19" t="s">
        <v>2</v>
      </c>
      <c r="B24" s="19" t="s">
        <v>7</v>
      </c>
      <c r="C24" s="19" t="s">
        <v>8</v>
      </c>
    </row>
    <row r="25">
      <c r="C25" s="20" t="s">
        <v>9</v>
      </c>
      <c r="E25" s="20" t="s">
        <v>10</v>
      </c>
      <c r="G25" s="20" t="s">
        <v>11</v>
      </c>
    </row>
    <row r="26">
      <c r="C26" s="19" t="s">
        <v>12</v>
      </c>
      <c r="D26" s="19" t="s">
        <v>13</v>
      </c>
      <c r="E26" s="19" t="s">
        <v>12</v>
      </c>
      <c r="F26" s="19" t="s">
        <v>13</v>
      </c>
      <c r="G26" s="19" t="s">
        <v>12</v>
      </c>
      <c r="H26" s="19" t="s">
        <v>13</v>
      </c>
    </row>
    <row r="27">
      <c r="A27" s="14">
        <f t="shared" ref="A27:B27" si="12">B3</f>
        <v>10</v>
      </c>
      <c r="B27" s="15">
        <f t="shared" si="12"/>
        <v>0.000003</v>
      </c>
      <c r="C27" s="5">
        <v>2.1E-5</v>
      </c>
      <c r="D27" s="21">
        <f t="shared" ref="D27:D33" si="14">B27/C27</f>
        <v>0.1428571429</v>
      </c>
      <c r="E27" s="22">
        <v>0.006975</v>
      </c>
      <c r="F27" s="21">
        <f t="shared" ref="F27:F33" si="15">B27/E27</f>
        <v>0.0004301075269</v>
      </c>
      <c r="G27" s="5">
        <v>0.067628</v>
      </c>
      <c r="H27" s="21">
        <f t="shared" ref="H27:H33" si="16">B27/G27</f>
        <v>0.00004436032413</v>
      </c>
    </row>
    <row r="28">
      <c r="A28" s="14">
        <f t="shared" ref="A28:B28" si="13">B4</f>
        <v>100</v>
      </c>
      <c r="B28" s="15">
        <f t="shared" si="13"/>
        <v>0.000039</v>
      </c>
      <c r="C28" s="5">
        <v>1.6E-5</v>
      </c>
      <c r="D28" s="21">
        <f t="shared" si="14"/>
        <v>2.4375</v>
      </c>
      <c r="E28" s="5">
        <v>2.1E-5</v>
      </c>
      <c r="F28" s="21">
        <f t="shared" si="15"/>
        <v>1.857142857</v>
      </c>
      <c r="G28" s="5">
        <v>2.15E-4</v>
      </c>
      <c r="H28" s="21">
        <f t="shared" si="16"/>
        <v>0.1813953488</v>
      </c>
    </row>
    <row r="29">
      <c r="A29" s="14">
        <f t="shared" ref="A29:B29" si="17">B5</f>
        <v>10000</v>
      </c>
      <c r="B29" s="15">
        <f t="shared" si="17"/>
        <v>0.202235</v>
      </c>
      <c r="C29" s="5">
        <v>0.063405</v>
      </c>
      <c r="D29" s="21">
        <f t="shared" si="14"/>
        <v>3.189574955</v>
      </c>
      <c r="E29" s="5">
        <v>0.016301</v>
      </c>
      <c r="F29" s="21">
        <f t="shared" si="15"/>
        <v>12.40629409</v>
      </c>
      <c r="G29" s="5">
        <v>0.004566</v>
      </c>
      <c r="H29" s="21">
        <f t="shared" si="16"/>
        <v>44.29150241</v>
      </c>
    </row>
    <row r="30">
      <c r="A30" s="14">
        <f t="shared" ref="A30:B30" si="18">B6</f>
        <v>20000</v>
      </c>
      <c r="B30" s="15">
        <f t="shared" si="18"/>
        <v>0.845741</v>
      </c>
      <c r="C30" s="5">
        <v>0.250183</v>
      </c>
      <c r="D30" s="21">
        <f t="shared" si="14"/>
        <v>3.380489482</v>
      </c>
      <c r="E30" s="5">
        <v>0.063327</v>
      </c>
      <c r="F30" s="21">
        <f t="shared" si="15"/>
        <v>13.35514078</v>
      </c>
      <c r="G30" s="5">
        <v>0.016692</v>
      </c>
      <c r="H30" s="21">
        <f t="shared" si="16"/>
        <v>50.66744548</v>
      </c>
    </row>
    <row r="31">
      <c r="A31" s="14">
        <f t="shared" ref="A31:B31" si="19">B7</f>
        <v>30000</v>
      </c>
      <c r="B31" s="15">
        <f t="shared" si="19"/>
        <v>1.9801</v>
      </c>
      <c r="C31" s="5">
        <v>0.55962</v>
      </c>
      <c r="D31" s="21">
        <f t="shared" si="14"/>
        <v>3.538293842</v>
      </c>
      <c r="E31" s="5">
        <v>0.141285</v>
      </c>
      <c r="F31" s="21">
        <f t="shared" si="15"/>
        <v>14.01493435</v>
      </c>
      <c r="G31" s="5">
        <v>0.036363</v>
      </c>
      <c r="H31" s="21">
        <f t="shared" si="16"/>
        <v>54.45370294</v>
      </c>
    </row>
    <row r="32">
      <c r="A32" s="14">
        <f t="shared" ref="A32:B32" si="20">B8</f>
        <v>40000</v>
      </c>
      <c r="B32" s="15">
        <f t="shared" si="20"/>
        <v>3.634973</v>
      </c>
      <c r="C32" s="5">
        <v>0.997542</v>
      </c>
      <c r="D32" s="21">
        <f t="shared" si="14"/>
        <v>3.643929779</v>
      </c>
      <c r="E32" s="5">
        <v>0.250799</v>
      </c>
      <c r="F32" s="21">
        <f t="shared" si="15"/>
        <v>14.49357055</v>
      </c>
      <c r="G32" s="5">
        <v>0.064189</v>
      </c>
      <c r="H32" s="21">
        <f t="shared" si="16"/>
        <v>56.62921996</v>
      </c>
    </row>
    <row r="33">
      <c r="A33" s="14">
        <f t="shared" ref="A33:B33" si="21">B9</f>
        <v>50000</v>
      </c>
      <c r="B33" s="15">
        <f t="shared" si="21"/>
        <v>5.716966</v>
      </c>
      <c r="C33" s="5">
        <v>1.556737</v>
      </c>
      <c r="D33" s="21">
        <f t="shared" si="14"/>
        <v>3.672403238</v>
      </c>
      <c r="E33" s="5">
        <v>0.389708</v>
      </c>
      <c r="F33" s="21">
        <f t="shared" si="15"/>
        <v>14.66987078</v>
      </c>
      <c r="G33" s="5">
        <v>0.099551</v>
      </c>
      <c r="H33" s="21">
        <f t="shared" si="16"/>
        <v>57.42750952</v>
      </c>
    </row>
  </sheetData>
  <mergeCells count="17">
    <mergeCell ref="E13:F13"/>
    <mergeCell ref="G13:H13"/>
    <mergeCell ref="A12:A14"/>
    <mergeCell ref="A24:A26"/>
    <mergeCell ref="B24:B26"/>
    <mergeCell ref="C24:H24"/>
    <mergeCell ref="C25:D25"/>
    <mergeCell ref="E25:F25"/>
    <mergeCell ref="G25:H25"/>
    <mergeCell ref="A1:H1"/>
    <mergeCell ref="F2:G2"/>
    <mergeCell ref="A11:H11"/>
    <mergeCell ref="B12:B14"/>
    <mergeCell ref="C12:H12"/>
    <mergeCell ref="C13:D13"/>
    <mergeCell ref="A23:H23"/>
    <mergeCell ref="F5:G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